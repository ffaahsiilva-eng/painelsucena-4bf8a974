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cena\Downloads\"/>
    </mc:Choice>
  </mc:AlternateContent>
  <xr:revisionPtr revIDLastSave="0" documentId="13_ncr:1_{1B502C74-033D-42A0-BFBF-464DA3356737}" xr6:coauthVersionLast="47" xr6:coauthVersionMax="47" xr10:uidLastSave="{00000000-0000-0000-0000-000000000000}"/>
  <bookViews>
    <workbookView xWindow="-108" yWindow="-108" windowWidth="23256" windowHeight="12456" xr2:uid="{CF78E000-EF45-4F99-8D39-5306F0A46E4F}"/>
  </bookViews>
  <sheets>
    <sheet name="NR 20 (2)" sheetId="2" r:id="rId1"/>
    <sheet name="NR 3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I6" i="1"/>
  <c r="I4" i="1"/>
  <c r="I9" i="1"/>
  <c r="I14" i="1"/>
  <c r="I15" i="1"/>
  <c r="I16" i="1"/>
  <c r="I17" i="1"/>
  <c r="I13" i="1"/>
  <c r="I8" i="1"/>
  <c r="I7" i="1"/>
  <c r="I12" i="1"/>
  <c r="I10" i="1"/>
  <c r="I11" i="1"/>
  <c r="L2" i="1"/>
  <c r="J11" i="1" s="1"/>
  <c r="L2" i="2"/>
  <c r="J42" i="2" s="1"/>
  <c r="J6" i="1" l="1"/>
  <c r="J4" i="1"/>
  <c r="J9" i="1"/>
  <c r="J15" i="1"/>
  <c r="J17" i="1"/>
  <c r="J16" i="1"/>
  <c r="J14" i="1"/>
  <c r="J13" i="1"/>
  <c r="J8" i="1"/>
  <c r="J12" i="1"/>
  <c r="J7" i="1"/>
  <c r="J10" i="1"/>
  <c r="J22" i="2"/>
  <c r="J8" i="2"/>
  <c r="J19" i="2"/>
  <c r="J29" i="2"/>
  <c r="J31" i="2"/>
  <c r="J34" i="2"/>
  <c r="J35" i="2"/>
  <c r="J37" i="2"/>
  <c r="J38" i="2"/>
  <c r="J23" i="2"/>
  <c r="J5" i="2"/>
  <c r="J39" i="2"/>
  <c r="J20" i="2"/>
  <c r="J40" i="2"/>
  <c r="J41" i="2"/>
  <c r="J24" i="2"/>
  <c r="J6" i="2"/>
  <c r="J26" i="2"/>
  <c r="J11" i="2"/>
  <c r="J27" i="2"/>
  <c r="J12" i="2"/>
  <c r="J30" i="2"/>
  <c r="J15" i="2"/>
  <c r="J32" i="2"/>
  <c r="J16" i="2"/>
  <c r="J33" i="2"/>
</calcChain>
</file>

<file path=xl/sharedStrings.xml><?xml version="1.0" encoding="utf-8"?>
<sst xmlns="http://schemas.openxmlformats.org/spreadsheetml/2006/main" count="304" uniqueCount="81">
  <si>
    <t>Matrícula</t>
  </si>
  <si>
    <t>Status</t>
  </si>
  <si>
    <t>Colaborador</t>
  </si>
  <si>
    <t>Função</t>
  </si>
  <si>
    <t>Área</t>
  </si>
  <si>
    <t>Treinamento</t>
  </si>
  <si>
    <t>Data do Treinamento</t>
  </si>
  <si>
    <t>Data da Próxima Reciclagem</t>
  </si>
  <si>
    <t>Dias Restantes</t>
  </si>
  <si>
    <t>Ativo</t>
  </si>
  <si>
    <t>ADMINISTRATIVA</t>
  </si>
  <si>
    <t>Validade em Dias</t>
  </si>
  <si>
    <t>HOJE</t>
  </si>
  <si>
    <t>CONTROLE DE TREINAMENTO</t>
  </si>
  <si>
    <t>ITAMAR DE SOUZA PEREIRA JUNIOR</t>
  </si>
  <si>
    <t xml:space="preserve">ALEXSSANDRA SOUZA CHAVES </t>
  </si>
  <si>
    <t xml:space="preserve">TÉCNICO DE SEGURANÇA </t>
  </si>
  <si>
    <t>OPERACIONAL</t>
  </si>
  <si>
    <t>NR 20</t>
  </si>
  <si>
    <t>NA</t>
  </si>
  <si>
    <t xml:space="preserve">ALEXSSANDRO SOUZA CHAVES </t>
  </si>
  <si>
    <t>ANDERSON DA CRUZ PINHEIRO</t>
  </si>
  <si>
    <t>MOTORISTA DE CAMINHÃO PIPA</t>
  </si>
  <si>
    <t>ANDERSON DE ARAUJO BARARUA</t>
  </si>
  <si>
    <t xml:space="preserve">AJUDANTE </t>
  </si>
  <si>
    <t xml:space="preserve">ANDRE DE OLIVEIRA SILVA </t>
  </si>
  <si>
    <t xml:space="preserve">CARLOS ANDRE MOURÃO DOS REIS  </t>
  </si>
  <si>
    <t xml:space="preserve">MOTORISTA DO CAMINHÃO MUNCK </t>
  </si>
  <si>
    <t>COSME SILVA PONTES</t>
  </si>
  <si>
    <t>ENGENHEIRO DE SEGURANÇA DO TRABALHO</t>
  </si>
  <si>
    <t>TÉCNICO DE SEGURANÇA DO TRABALHO</t>
  </si>
  <si>
    <t>CRERIANE ALCANTARA NAVEGANTES</t>
  </si>
  <si>
    <t>APONTADOR</t>
  </si>
  <si>
    <t>DANIELI FERREIRA COSTA FARIAS</t>
  </si>
  <si>
    <t>PLANEJADOR</t>
  </si>
  <si>
    <t>DERICK EUDES SOUZA DE JESUS</t>
  </si>
  <si>
    <t>DOMINGUES FABRICIO DA SILVA SOUSA</t>
  </si>
  <si>
    <t>ENCARREGADO GERAL</t>
  </si>
  <si>
    <t>EDSON DARLEY MOURA DA SILVA</t>
  </si>
  <si>
    <t>JARDINEIRO</t>
  </si>
  <si>
    <t>EZEDEQUIAS FERREIRA DA SILVA</t>
  </si>
  <si>
    <t>AJUDANTE</t>
  </si>
  <si>
    <t>FABIANO DOS ANJOS BARROS</t>
  </si>
  <si>
    <t>FABIO GENILSON FERNANDES DOS REMEDIOS</t>
  </si>
  <si>
    <t>FLAVIO HENRIQUE BARARUA CARDOSO</t>
  </si>
  <si>
    <t>FRANCINALDO BARATA DOS SANTOS</t>
  </si>
  <si>
    <t>MOTORISTA DE ONIBUS</t>
  </si>
  <si>
    <t>FELIPE DOS SANTOS PEREIRA</t>
  </si>
  <si>
    <t>JAILSON CARDOSO DE MELO</t>
  </si>
  <si>
    <t>OFICIAL POLIVALENTE</t>
  </si>
  <si>
    <t>JEOVA MARCELINO RODRIGUES</t>
  </si>
  <si>
    <t>MOTORISTA DE CAMINHÃO MUNCK</t>
  </si>
  <si>
    <t>JHEFFESON SILVA DE SOUSA</t>
  </si>
  <si>
    <t>JOSE MARIA CORREA CORREA</t>
  </si>
  <si>
    <t>ENCARREGADO DE FRENTE DE SERVIÇO</t>
  </si>
  <si>
    <t>JOSE ROBERTO RODRIGUES DE SOUZA</t>
  </si>
  <si>
    <t>LUCAS FERNANDES GOMES</t>
  </si>
  <si>
    <t>LUIS CARLOS PASSOS ARAUJO</t>
  </si>
  <si>
    <t>ENGENHEIRO FLORESTAL</t>
  </si>
  <si>
    <t>MARCELO PINHEIRO CARDOSO</t>
  </si>
  <si>
    <t>ELETRICISTA</t>
  </si>
  <si>
    <t>MAURICIO NASCIMENTO MARTINS</t>
  </si>
  <si>
    <t>PEDRO MELO CORDEIRO</t>
  </si>
  <si>
    <t>ENCARREGADO DE OBRAS</t>
  </si>
  <si>
    <t>PAULO FELIX CARDOSO</t>
  </si>
  <si>
    <t>RAIMUNDO PEREIRA DOS SANTOS</t>
  </si>
  <si>
    <t>MEIO OFICIAL</t>
  </si>
  <si>
    <t>REGINALDO DOS SANTOS CARNEIRO</t>
  </si>
  <si>
    <t>ROBERT WILLIAN RODRIGUES PEREIRA</t>
  </si>
  <si>
    <t>ROBSON LEANDRO SOUSA FUJISHIMA</t>
  </si>
  <si>
    <t>RONALDINHO DOS SANTOS BARBOSA</t>
  </si>
  <si>
    <t>THAYLON SILVA DA CONCEIÇÃO</t>
  </si>
  <si>
    <t xml:space="preserve">TIAGO AUGUSTO ROSA MACHADO </t>
  </si>
  <si>
    <t>VINICIUS MALCHER DE JESUS JUNIOR</t>
  </si>
  <si>
    <t>WELBER SANTOS MENDES</t>
  </si>
  <si>
    <t>ZEDIANE DO CARMO MONTEIRO DA SILVA</t>
  </si>
  <si>
    <t>MECANICO</t>
  </si>
  <si>
    <t>SINALEIRO RIGGER</t>
  </si>
  <si>
    <t>TECNICO DE MEIO AMBIENTE</t>
  </si>
  <si>
    <t>AUXILIAR DE ALMOXARIFE</t>
  </si>
  <si>
    <t>NR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</si>
</sst>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5" borderId="2" xfId="0" applyNumberFormat="1" applyFont="1" applyFill="1" applyBorder="1"/>
    <xf numFmtId="14" fontId="0" fillId="6" borderId="4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4" fontId="0" fillId="8" borderId="4" xfId="0" applyNumberForma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5" fillId="0" borderId="0" xfId="0" applyFont="1"/>
    <xf numFmtId="14" fontId="0" fillId="7" borderId="4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76200</xdr:rowOff>
    </xdr:from>
    <xdr:to>
      <xdr:col>1</xdr:col>
      <xdr:colOff>447667</xdr:colOff>
      <xdr:row>0</xdr:row>
      <xdr:rowOff>541020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EDB4FBE7-5BE6-4627-A935-B124079CD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76200"/>
          <a:ext cx="996307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76200</xdr:rowOff>
    </xdr:from>
    <xdr:to>
      <xdr:col>1</xdr:col>
      <xdr:colOff>447667</xdr:colOff>
      <xdr:row>0</xdr:row>
      <xdr:rowOff>541020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4254D1C-59DA-44D2-AFCD-4CC4CA537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76200"/>
          <a:ext cx="996307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BA2C-B200-404F-B7DC-CA92EC7B4300}">
  <dimension ref="A1:L154"/>
  <sheetViews>
    <sheetView tabSelected="1" zoomScale="92" workbookViewId="0">
      <selection activeCell="C18" sqref="C18"/>
    </sheetView>
  </sheetViews>
  <sheetFormatPr defaultRowHeight="14.4" x14ac:dyDescent="0.3"/>
  <cols>
    <col min="3" max="3" width="39" customWidth="1"/>
    <col min="4" max="4" width="38.21875" customWidth="1"/>
    <col min="5" max="5" width="14.77734375" bestFit="1" customWidth="1"/>
    <col min="6" max="6" width="11" customWidth="1"/>
    <col min="7" max="7" width="18.33203125" bestFit="1" customWidth="1"/>
    <col min="8" max="8" width="17.21875" bestFit="1" customWidth="1"/>
    <col min="9" max="9" width="25" bestFit="1" customWidth="1"/>
    <col min="10" max="10" width="13.33203125" bestFit="1" customWidth="1"/>
    <col min="12" max="12" width="10.88671875" customWidth="1"/>
  </cols>
  <sheetData>
    <row r="1" spans="1:12" ht="50.4" customHeight="1" thickBot="1" x14ac:dyDescent="0.35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  <c r="L1" s="4" t="s">
        <v>12</v>
      </c>
    </row>
    <row r="2" spans="1:12" ht="15" thickBot="1" x14ac:dyDescent="0.35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8" t="s">
        <v>6</v>
      </c>
      <c r="H2" s="9" t="s">
        <v>11</v>
      </c>
      <c r="I2" s="9" t="s">
        <v>7</v>
      </c>
      <c r="J2" s="9" t="s">
        <v>8</v>
      </c>
      <c r="L2" s="5">
        <f ca="1">TODAY()</f>
        <v>46140</v>
      </c>
    </row>
    <row r="3" spans="1:12" ht="15" thickBot="1" x14ac:dyDescent="0.35">
      <c r="A3" s="1">
        <v>59178</v>
      </c>
      <c r="B3" s="2" t="s">
        <v>9</v>
      </c>
      <c r="C3" t="s">
        <v>15</v>
      </c>
      <c r="D3" s="10" t="s">
        <v>30</v>
      </c>
      <c r="E3" s="10" t="s">
        <v>10</v>
      </c>
      <c r="F3" s="2" t="s">
        <v>18</v>
      </c>
      <c r="G3" s="3">
        <v>45943</v>
      </c>
      <c r="H3" s="2" t="s">
        <v>19</v>
      </c>
      <c r="I3" s="6"/>
      <c r="J3" s="7" t="s">
        <v>19</v>
      </c>
    </row>
    <row r="4" spans="1:12" ht="15" thickBot="1" x14ac:dyDescent="0.35">
      <c r="A4" s="1"/>
      <c r="B4" s="2" t="s">
        <v>9</v>
      </c>
      <c r="C4" s="11" t="s">
        <v>20</v>
      </c>
      <c r="D4" s="10" t="s">
        <v>30</v>
      </c>
      <c r="E4" s="10" t="s">
        <v>17</v>
      </c>
      <c r="F4" s="2" t="s">
        <v>18</v>
      </c>
      <c r="G4" s="3">
        <v>46104</v>
      </c>
      <c r="H4" s="2" t="s">
        <v>19</v>
      </c>
      <c r="I4" s="6" t="s">
        <v>19</v>
      </c>
      <c r="J4" s="7" t="s">
        <v>19</v>
      </c>
    </row>
    <row r="5" spans="1:12" ht="15" thickBot="1" x14ac:dyDescent="0.35">
      <c r="A5" s="1"/>
      <c r="B5" s="2" t="s">
        <v>9</v>
      </c>
      <c r="C5" s="11" t="s">
        <v>21</v>
      </c>
      <c r="D5" s="10" t="s">
        <v>22</v>
      </c>
      <c r="E5" s="10" t="s">
        <v>17</v>
      </c>
      <c r="F5" s="2" t="s">
        <v>18</v>
      </c>
      <c r="G5" s="3">
        <v>45854</v>
      </c>
      <c r="H5" s="2">
        <v>730</v>
      </c>
      <c r="I5" s="6">
        <v>46584</v>
      </c>
      <c r="J5" s="7">
        <f ca="1">I5-$L$2</f>
        <v>444</v>
      </c>
    </row>
    <row r="6" spans="1:12" ht="15" thickBot="1" x14ac:dyDescent="0.35">
      <c r="A6" s="1"/>
      <c r="B6" s="2" t="s">
        <v>9</v>
      </c>
      <c r="C6" s="11" t="s">
        <v>23</v>
      </c>
      <c r="D6" s="10" t="s">
        <v>24</v>
      </c>
      <c r="E6" s="10" t="s">
        <v>17</v>
      </c>
      <c r="F6" s="2" t="s">
        <v>18</v>
      </c>
      <c r="G6" s="3">
        <v>45721</v>
      </c>
      <c r="H6" s="2">
        <v>730</v>
      </c>
      <c r="I6" s="6">
        <v>46451</v>
      </c>
      <c r="J6" s="7">
        <f ca="1">I6-$L$2</f>
        <v>311</v>
      </c>
    </row>
    <row r="7" spans="1:12" ht="15" thickBot="1" x14ac:dyDescent="0.35">
      <c r="A7" s="1"/>
      <c r="B7" s="2" t="s">
        <v>9</v>
      </c>
      <c r="C7" s="11" t="s">
        <v>25</v>
      </c>
      <c r="D7" s="10" t="s">
        <v>16</v>
      </c>
      <c r="E7" s="10" t="s">
        <v>10</v>
      </c>
      <c r="F7" s="2" t="s">
        <v>18</v>
      </c>
      <c r="G7" s="3"/>
      <c r="H7" s="2"/>
      <c r="I7" s="6"/>
      <c r="J7" s="7"/>
    </row>
    <row r="8" spans="1:12" ht="15" thickBot="1" x14ac:dyDescent="0.35">
      <c r="A8" s="1"/>
      <c r="B8" s="2" t="s">
        <v>9</v>
      </c>
      <c r="C8" s="11" t="s">
        <v>26</v>
      </c>
      <c r="D8" s="10" t="s">
        <v>27</v>
      </c>
      <c r="E8" s="10" t="s">
        <v>17</v>
      </c>
      <c r="F8" s="2" t="s">
        <v>18</v>
      </c>
      <c r="G8" s="18">
        <v>45777</v>
      </c>
      <c r="H8" s="2">
        <v>730</v>
      </c>
      <c r="I8" s="6">
        <v>46507</v>
      </c>
      <c r="J8" s="7">
        <f t="shared" ref="J8" ca="1" si="0">I8-$L$2</f>
        <v>367</v>
      </c>
    </row>
    <row r="9" spans="1:12" ht="15" thickBot="1" x14ac:dyDescent="0.35">
      <c r="A9" s="1"/>
      <c r="B9" s="2" t="s">
        <v>9</v>
      </c>
      <c r="C9" s="11" t="s">
        <v>28</v>
      </c>
      <c r="D9" s="10" t="s">
        <v>29</v>
      </c>
      <c r="E9" s="10" t="s">
        <v>10</v>
      </c>
      <c r="F9" s="2" t="s">
        <v>18</v>
      </c>
      <c r="G9" s="3">
        <v>45914</v>
      </c>
      <c r="H9" s="2" t="s">
        <v>19</v>
      </c>
      <c r="I9" s="6"/>
      <c r="J9" s="7" t="s">
        <v>19</v>
      </c>
    </row>
    <row r="10" spans="1:12" ht="15" thickBot="1" x14ac:dyDescent="0.35">
      <c r="A10" s="1"/>
      <c r="B10" s="2" t="s">
        <v>9</v>
      </c>
      <c r="C10" s="11" t="s">
        <v>31</v>
      </c>
      <c r="D10" s="10" t="s">
        <v>32</v>
      </c>
      <c r="E10" s="13" t="s">
        <v>10</v>
      </c>
      <c r="F10" s="2" t="s">
        <v>18</v>
      </c>
      <c r="G10" s="3"/>
      <c r="H10" s="2"/>
      <c r="I10" s="6"/>
      <c r="J10" s="7"/>
    </row>
    <row r="11" spans="1:12" ht="15" thickBot="1" x14ac:dyDescent="0.35">
      <c r="A11" s="1"/>
      <c r="B11" s="2" t="s">
        <v>9</v>
      </c>
      <c r="C11" s="11" t="s">
        <v>33</v>
      </c>
      <c r="D11" s="10" t="s">
        <v>34</v>
      </c>
      <c r="E11" s="10" t="s">
        <v>10</v>
      </c>
      <c r="F11" s="2" t="s">
        <v>18</v>
      </c>
      <c r="G11" s="3">
        <v>45714</v>
      </c>
      <c r="H11" s="2">
        <v>1095</v>
      </c>
      <c r="I11" s="6">
        <v>46809</v>
      </c>
      <c r="J11" s="7">
        <f t="shared" ref="J11:J42" ca="1" si="1">I11-$L$2</f>
        <v>669</v>
      </c>
    </row>
    <row r="12" spans="1:12" ht="15" thickBot="1" x14ac:dyDescent="0.35">
      <c r="A12" s="1"/>
      <c r="B12" s="2" t="s">
        <v>9</v>
      </c>
      <c r="C12" s="11" t="s">
        <v>35</v>
      </c>
      <c r="D12" s="10" t="s">
        <v>32</v>
      </c>
      <c r="E12" s="10" t="s">
        <v>10</v>
      </c>
      <c r="F12" s="2" t="s">
        <v>18</v>
      </c>
      <c r="G12" s="3">
        <v>46083</v>
      </c>
      <c r="H12" s="2">
        <v>730</v>
      </c>
      <c r="I12" s="6">
        <v>46814</v>
      </c>
      <c r="J12" s="7">
        <f t="shared" ca="1" si="1"/>
        <v>674</v>
      </c>
    </row>
    <row r="13" spans="1:12" ht="15" thickBot="1" x14ac:dyDescent="0.35">
      <c r="A13" s="1"/>
      <c r="B13" s="2" t="s">
        <v>9</v>
      </c>
      <c r="C13" s="11" t="s">
        <v>36</v>
      </c>
      <c r="D13" s="10" t="s">
        <v>37</v>
      </c>
      <c r="E13" s="10" t="s">
        <v>17</v>
      </c>
      <c r="F13" s="2" t="s">
        <v>18</v>
      </c>
      <c r="G13" s="3"/>
      <c r="H13" s="2"/>
      <c r="I13" s="6"/>
      <c r="J13" s="7"/>
    </row>
    <row r="14" spans="1:12" ht="15" thickBot="1" x14ac:dyDescent="0.35">
      <c r="A14" s="1"/>
      <c r="B14" s="2" t="s">
        <v>9</v>
      </c>
      <c r="C14" s="11" t="s">
        <v>38</v>
      </c>
      <c r="D14" s="10" t="s">
        <v>39</v>
      </c>
      <c r="E14" s="10" t="s">
        <v>17</v>
      </c>
      <c r="F14" s="2" t="s">
        <v>18</v>
      </c>
      <c r="G14" s="3"/>
      <c r="H14" s="2"/>
      <c r="I14" s="6"/>
      <c r="J14" s="7"/>
    </row>
    <row r="15" spans="1:12" ht="15" thickBot="1" x14ac:dyDescent="0.35">
      <c r="A15" s="1"/>
      <c r="B15" s="2" t="s">
        <v>9</v>
      </c>
      <c r="C15" s="11" t="s">
        <v>40</v>
      </c>
      <c r="D15" s="10" t="s">
        <v>41</v>
      </c>
      <c r="E15" s="10" t="s">
        <v>17</v>
      </c>
      <c r="F15" s="2" t="s">
        <v>18</v>
      </c>
      <c r="G15" s="3">
        <v>46013</v>
      </c>
      <c r="H15" s="2">
        <v>730</v>
      </c>
      <c r="I15" s="6">
        <v>46743</v>
      </c>
      <c r="J15" s="7">
        <f t="shared" ca="1" si="1"/>
        <v>603</v>
      </c>
    </row>
    <row r="16" spans="1:12" ht="15" thickBot="1" x14ac:dyDescent="0.35">
      <c r="A16" s="1"/>
      <c r="B16" s="2" t="s">
        <v>9</v>
      </c>
      <c r="C16" s="11" t="s">
        <v>42</v>
      </c>
      <c r="D16" t="s">
        <v>39</v>
      </c>
      <c r="E16" s="10" t="s">
        <v>17</v>
      </c>
      <c r="F16" s="2" t="s">
        <v>18</v>
      </c>
      <c r="G16" s="3">
        <v>46092</v>
      </c>
      <c r="H16" s="2">
        <v>730</v>
      </c>
      <c r="I16" s="6">
        <v>46823</v>
      </c>
      <c r="J16" s="7">
        <f t="shared" ca="1" si="1"/>
        <v>683</v>
      </c>
    </row>
    <row r="17" spans="1:10" ht="15" thickBot="1" x14ac:dyDescent="0.35">
      <c r="A17" s="1"/>
      <c r="B17" s="2" t="s">
        <v>9</v>
      </c>
      <c r="C17" s="11" t="s">
        <v>43</v>
      </c>
      <c r="D17" s="10" t="s">
        <v>22</v>
      </c>
      <c r="E17" s="10" t="s">
        <v>17</v>
      </c>
      <c r="F17" s="2" t="s">
        <v>18</v>
      </c>
      <c r="G17" s="3"/>
      <c r="H17" s="2"/>
      <c r="I17" s="6"/>
      <c r="J17" s="7"/>
    </row>
    <row r="18" spans="1:10" ht="15" thickBot="1" x14ac:dyDescent="0.35">
      <c r="A18" s="1"/>
      <c r="B18" s="2" t="s">
        <v>9</v>
      </c>
      <c r="C18" s="11" t="s">
        <v>44</v>
      </c>
      <c r="D18" s="10" t="s">
        <v>41</v>
      </c>
      <c r="E18" s="10" t="s">
        <v>17</v>
      </c>
      <c r="F18" s="2" t="s">
        <v>18</v>
      </c>
      <c r="G18" s="3"/>
      <c r="H18" s="2"/>
      <c r="I18" s="6"/>
      <c r="J18" s="7"/>
    </row>
    <row r="19" spans="1:10" ht="15" thickBot="1" x14ac:dyDescent="0.35">
      <c r="A19" s="1"/>
      <c r="B19" s="2" t="s">
        <v>9</v>
      </c>
      <c r="C19" s="11" t="s">
        <v>45</v>
      </c>
      <c r="D19" s="10" t="s">
        <v>46</v>
      </c>
      <c r="E19" s="10" t="s">
        <v>17</v>
      </c>
      <c r="F19" s="2" t="s">
        <v>18</v>
      </c>
      <c r="G19" s="3">
        <v>45868</v>
      </c>
      <c r="H19" s="2">
        <v>730</v>
      </c>
      <c r="I19" s="6">
        <v>46598</v>
      </c>
      <c r="J19" s="7">
        <f t="shared" ca="1" si="1"/>
        <v>458</v>
      </c>
    </row>
    <row r="20" spans="1:10" ht="15" thickBot="1" x14ac:dyDescent="0.35">
      <c r="A20" s="1"/>
      <c r="B20" s="2" t="s">
        <v>9</v>
      </c>
      <c r="C20" s="11" t="s">
        <v>47</v>
      </c>
      <c r="D20" s="10" t="s">
        <v>41</v>
      </c>
      <c r="E20" s="10" t="s">
        <v>17</v>
      </c>
      <c r="F20" s="2" t="s">
        <v>18</v>
      </c>
      <c r="G20" s="3">
        <v>46013</v>
      </c>
      <c r="H20" s="2">
        <v>730</v>
      </c>
      <c r="I20" s="6">
        <v>46743</v>
      </c>
      <c r="J20" s="7">
        <f t="shared" ca="1" si="1"/>
        <v>603</v>
      </c>
    </row>
    <row r="21" spans="1:10" ht="15" thickBot="1" x14ac:dyDescent="0.35">
      <c r="A21" s="1"/>
      <c r="B21" s="2" t="s">
        <v>9</v>
      </c>
      <c r="C21" s="11" t="s">
        <v>14</v>
      </c>
      <c r="D21" s="13" t="s">
        <v>30</v>
      </c>
      <c r="E21" s="10" t="s">
        <v>17</v>
      </c>
      <c r="F21" s="2" t="s">
        <v>18</v>
      </c>
      <c r="G21" s="3">
        <v>45928</v>
      </c>
      <c r="H21" s="2" t="s">
        <v>19</v>
      </c>
      <c r="I21" s="14" t="s">
        <v>19</v>
      </c>
      <c r="J21" s="7" t="s">
        <v>19</v>
      </c>
    </row>
    <row r="22" spans="1:10" ht="15" thickBot="1" x14ac:dyDescent="0.35">
      <c r="A22" s="1"/>
      <c r="B22" s="2" t="s">
        <v>9</v>
      </c>
      <c r="C22" s="11" t="s">
        <v>48</v>
      </c>
      <c r="D22" s="10" t="s">
        <v>49</v>
      </c>
      <c r="E22" s="10" t="s">
        <v>17</v>
      </c>
      <c r="F22" s="2" t="s">
        <v>18</v>
      </c>
      <c r="G22" s="3">
        <v>45721</v>
      </c>
      <c r="H22" s="2">
        <v>730</v>
      </c>
      <c r="I22" s="6">
        <v>46451</v>
      </c>
      <c r="J22" s="7">
        <f t="shared" ca="1" si="1"/>
        <v>311</v>
      </c>
    </row>
    <row r="23" spans="1:10" ht="15" thickBot="1" x14ac:dyDescent="0.35">
      <c r="A23" s="1"/>
      <c r="B23" s="2" t="s">
        <v>9</v>
      </c>
      <c r="C23" s="15" t="s">
        <v>50</v>
      </c>
      <c r="D23" s="10" t="s">
        <v>51</v>
      </c>
      <c r="E23" s="10" t="s">
        <v>17</v>
      </c>
      <c r="F23" s="2" t="s">
        <v>18</v>
      </c>
      <c r="G23" s="3">
        <v>45871</v>
      </c>
      <c r="H23" s="2">
        <v>730</v>
      </c>
      <c r="I23" s="6">
        <v>46601</v>
      </c>
      <c r="J23" s="7">
        <f t="shared" ca="1" si="1"/>
        <v>461</v>
      </c>
    </row>
    <row r="24" spans="1:10" ht="15" thickBot="1" x14ac:dyDescent="0.35">
      <c r="A24" s="1"/>
      <c r="B24" s="2" t="s">
        <v>9</v>
      </c>
      <c r="C24" s="11" t="s">
        <v>52</v>
      </c>
      <c r="D24" s="10" t="s">
        <v>39</v>
      </c>
      <c r="E24" s="10" t="s">
        <v>17</v>
      </c>
      <c r="F24" s="2" t="s">
        <v>18</v>
      </c>
      <c r="G24" s="3">
        <v>45714</v>
      </c>
      <c r="H24" s="2">
        <v>730</v>
      </c>
      <c r="I24" s="6">
        <v>46444</v>
      </c>
      <c r="J24" s="7">
        <f t="shared" ca="1" si="1"/>
        <v>304</v>
      </c>
    </row>
    <row r="25" spans="1:10" ht="15" thickBot="1" x14ac:dyDescent="0.35">
      <c r="A25" s="1"/>
      <c r="B25" s="2" t="s">
        <v>9</v>
      </c>
      <c r="C25" s="11" t="s">
        <v>53</v>
      </c>
      <c r="D25" s="10" t="s">
        <v>54</v>
      </c>
      <c r="E25" s="10" t="s">
        <v>17</v>
      </c>
      <c r="F25" s="2" t="s">
        <v>18</v>
      </c>
      <c r="G25" s="3"/>
      <c r="H25" s="2"/>
      <c r="I25" s="6"/>
      <c r="J25" s="7"/>
    </row>
    <row r="26" spans="1:10" ht="15" thickBot="1" x14ac:dyDescent="0.35">
      <c r="A26" s="1"/>
      <c r="B26" s="2" t="s">
        <v>9</v>
      </c>
      <c r="C26" s="11" t="s">
        <v>55</v>
      </c>
      <c r="D26" s="10" t="s">
        <v>49</v>
      </c>
      <c r="E26" s="10" t="s">
        <v>17</v>
      </c>
      <c r="F26" s="2" t="s">
        <v>18</v>
      </c>
      <c r="G26" s="3">
        <v>45756</v>
      </c>
      <c r="H26" s="2">
        <v>730</v>
      </c>
      <c r="I26" s="6">
        <v>46486</v>
      </c>
      <c r="J26" s="7">
        <f t="shared" ca="1" si="1"/>
        <v>346</v>
      </c>
    </row>
    <row r="27" spans="1:10" ht="15" thickBot="1" x14ac:dyDescent="0.35">
      <c r="A27" s="1"/>
      <c r="B27" s="12" t="s">
        <v>9</v>
      </c>
      <c r="C27" s="11" t="s">
        <v>56</v>
      </c>
      <c r="D27" s="10" t="s">
        <v>39</v>
      </c>
      <c r="E27" s="10" t="s">
        <v>17</v>
      </c>
      <c r="F27" s="2" t="s">
        <v>18</v>
      </c>
      <c r="G27" s="3">
        <v>46092</v>
      </c>
      <c r="H27" s="2">
        <v>730</v>
      </c>
      <c r="I27" s="6">
        <v>46823</v>
      </c>
      <c r="J27" s="7">
        <f t="shared" ca="1" si="1"/>
        <v>683</v>
      </c>
    </row>
    <row r="28" spans="1:10" ht="15" thickBot="1" x14ac:dyDescent="0.35">
      <c r="A28" s="1"/>
      <c r="B28" s="2" t="s">
        <v>9</v>
      </c>
      <c r="C28" s="11" t="s">
        <v>57</v>
      </c>
      <c r="D28" s="10" t="s">
        <v>58</v>
      </c>
      <c r="E28" s="10" t="s">
        <v>10</v>
      </c>
      <c r="F28" s="2" t="s">
        <v>18</v>
      </c>
      <c r="G28" s="3"/>
      <c r="H28" s="2"/>
      <c r="I28" s="6"/>
      <c r="J28" s="7"/>
    </row>
    <row r="29" spans="1:10" ht="15" thickBot="1" x14ac:dyDescent="0.35">
      <c r="A29" s="1"/>
      <c r="B29" s="2" t="s">
        <v>9</v>
      </c>
      <c r="C29" s="11" t="s">
        <v>59</v>
      </c>
      <c r="D29" s="10" t="s">
        <v>60</v>
      </c>
      <c r="E29" s="10" t="s">
        <v>17</v>
      </c>
      <c r="F29" s="2" t="s">
        <v>18</v>
      </c>
      <c r="G29" s="3">
        <v>46107</v>
      </c>
      <c r="H29" s="2">
        <v>730</v>
      </c>
      <c r="I29" s="6">
        <v>46835</v>
      </c>
      <c r="J29" s="7">
        <f t="shared" ca="1" si="1"/>
        <v>695</v>
      </c>
    </row>
    <row r="30" spans="1:10" ht="15" thickBot="1" x14ac:dyDescent="0.35">
      <c r="A30" s="1"/>
      <c r="B30" s="2" t="s">
        <v>9</v>
      </c>
      <c r="C30" s="11" t="s">
        <v>61</v>
      </c>
      <c r="D30" s="10" t="s">
        <v>49</v>
      </c>
      <c r="E30" s="10" t="s">
        <v>17</v>
      </c>
      <c r="F30" s="2" t="s">
        <v>18</v>
      </c>
      <c r="G30" s="3">
        <v>46083</v>
      </c>
      <c r="H30" s="2">
        <v>730</v>
      </c>
      <c r="I30" s="6">
        <v>46814</v>
      </c>
      <c r="J30" s="7">
        <f t="shared" ca="1" si="1"/>
        <v>674</v>
      </c>
    </row>
    <row r="31" spans="1:10" ht="15" thickBot="1" x14ac:dyDescent="0.35">
      <c r="A31" s="1"/>
      <c r="B31" s="2" t="s">
        <v>9</v>
      </c>
      <c r="C31" s="11" t="s">
        <v>62</v>
      </c>
      <c r="D31" s="10" t="s">
        <v>63</v>
      </c>
      <c r="E31" s="10" t="s">
        <v>17</v>
      </c>
      <c r="F31" s="2" t="s">
        <v>18</v>
      </c>
      <c r="G31" s="3">
        <v>46083</v>
      </c>
      <c r="H31" s="2">
        <v>730</v>
      </c>
      <c r="I31" s="6">
        <v>46814</v>
      </c>
      <c r="J31" s="7">
        <f t="shared" ca="1" si="1"/>
        <v>674</v>
      </c>
    </row>
    <row r="32" spans="1:10" ht="15" thickBot="1" x14ac:dyDescent="0.35">
      <c r="A32" s="1"/>
      <c r="B32" s="2" t="s">
        <v>9</v>
      </c>
      <c r="C32" s="11" t="s">
        <v>64</v>
      </c>
      <c r="D32" s="10" t="s">
        <v>22</v>
      </c>
      <c r="E32" s="10" t="s">
        <v>17</v>
      </c>
      <c r="F32" s="2" t="s">
        <v>18</v>
      </c>
      <c r="G32" s="3">
        <v>45978</v>
      </c>
      <c r="H32" s="2">
        <v>730</v>
      </c>
      <c r="I32" s="6">
        <v>46708</v>
      </c>
      <c r="J32" s="7">
        <f t="shared" ca="1" si="1"/>
        <v>568</v>
      </c>
    </row>
    <row r="33" spans="1:10" ht="15" thickBot="1" x14ac:dyDescent="0.35">
      <c r="A33" s="1"/>
      <c r="B33" s="2" t="s">
        <v>9</v>
      </c>
      <c r="C33" s="11" t="s">
        <v>65</v>
      </c>
      <c r="D33" s="10" t="s">
        <v>66</v>
      </c>
      <c r="E33" s="10" t="s">
        <v>17</v>
      </c>
      <c r="F33" s="2" t="s">
        <v>18</v>
      </c>
      <c r="G33" s="3">
        <v>45798</v>
      </c>
      <c r="H33" s="2">
        <v>730</v>
      </c>
      <c r="I33" s="6">
        <v>46528</v>
      </c>
      <c r="J33" s="7">
        <f t="shared" ca="1" si="1"/>
        <v>388</v>
      </c>
    </row>
    <row r="34" spans="1:10" ht="15" thickBot="1" x14ac:dyDescent="0.35">
      <c r="A34" s="1"/>
      <c r="B34" s="2" t="s">
        <v>9</v>
      </c>
      <c r="C34" s="11" t="s">
        <v>67</v>
      </c>
      <c r="D34" s="10" t="s">
        <v>49</v>
      </c>
      <c r="E34" s="10" t="s">
        <v>17</v>
      </c>
      <c r="F34" s="2" t="s">
        <v>18</v>
      </c>
      <c r="G34" s="3">
        <v>45721</v>
      </c>
      <c r="H34" s="2">
        <v>730</v>
      </c>
      <c r="I34" s="6">
        <v>46451</v>
      </c>
      <c r="J34" s="7">
        <f t="shared" ca="1" si="1"/>
        <v>311</v>
      </c>
    </row>
    <row r="35" spans="1:10" ht="15" thickBot="1" x14ac:dyDescent="0.35">
      <c r="A35" s="1"/>
      <c r="B35" s="2" t="s">
        <v>9</v>
      </c>
      <c r="C35" s="11" t="s">
        <v>68</v>
      </c>
      <c r="D35" s="10" t="s">
        <v>41</v>
      </c>
      <c r="E35" s="10" t="s">
        <v>17</v>
      </c>
      <c r="F35" s="2" t="s">
        <v>18</v>
      </c>
      <c r="G35" s="3">
        <v>46013</v>
      </c>
      <c r="H35" s="2">
        <v>730</v>
      </c>
      <c r="I35" s="6">
        <v>46743</v>
      </c>
      <c r="J35" s="7">
        <f t="shared" ca="1" si="1"/>
        <v>603</v>
      </c>
    </row>
    <row r="36" spans="1:10" ht="15" thickBot="1" x14ac:dyDescent="0.35">
      <c r="A36" s="1"/>
      <c r="B36" s="2" t="s">
        <v>9</v>
      </c>
      <c r="C36" s="11" t="s">
        <v>69</v>
      </c>
      <c r="D36" s="10" t="s">
        <v>22</v>
      </c>
      <c r="E36" s="10" t="s">
        <v>17</v>
      </c>
      <c r="F36" s="2" t="s">
        <v>18</v>
      </c>
      <c r="H36" s="2"/>
      <c r="I36" s="6"/>
      <c r="J36" s="7"/>
    </row>
    <row r="37" spans="1:10" ht="15" thickBot="1" x14ac:dyDescent="0.35">
      <c r="A37" s="1"/>
      <c r="B37" s="2" t="s">
        <v>9</v>
      </c>
      <c r="C37" s="11" t="s">
        <v>70</v>
      </c>
      <c r="D37" s="10" t="s">
        <v>76</v>
      </c>
      <c r="E37" s="10" t="s">
        <v>17</v>
      </c>
      <c r="F37" s="2" t="s">
        <v>18</v>
      </c>
      <c r="G37" s="3">
        <v>45714</v>
      </c>
      <c r="H37" s="2">
        <v>730</v>
      </c>
      <c r="I37" s="6">
        <v>46444</v>
      </c>
      <c r="J37" s="7">
        <f t="shared" ca="1" si="1"/>
        <v>304</v>
      </c>
    </row>
    <row r="38" spans="1:10" ht="15" thickBot="1" x14ac:dyDescent="0.35">
      <c r="A38" s="1"/>
      <c r="B38" s="2" t="s">
        <v>9</v>
      </c>
      <c r="C38" s="11" t="s">
        <v>71</v>
      </c>
      <c r="D38" s="10" t="s">
        <v>77</v>
      </c>
      <c r="E38" s="10" t="s">
        <v>17</v>
      </c>
      <c r="F38" s="2" t="s">
        <v>18</v>
      </c>
      <c r="G38" s="3">
        <v>45784</v>
      </c>
      <c r="H38" s="2">
        <v>730</v>
      </c>
      <c r="I38" s="6">
        <v>46514</v>
      </c>
      <c r="J38" s="7">
        <f t="shared" ca="1" si="1"/>
        <v>374</v>
      </c>
    </row>
    <row r="39" spans="1:10" ht="15" thickBot="1" x14ac:dyDescent="0.35">
      <c r="A39" s="1"/>
      <c r="B39" s="2" t="s">
        <v>9</v>
      </c>
      <c r="C39" s="11" t="s">
        <v>72</v>
      </c>
      <c r="D39" s="10" t="s">
        <v>78</v>
      </c>
      <c r="E39" s="10" t="s">
        <v>17</v>
      </c>
      <c r="F39" s="2" t="s">
        <v>18</v>
      </c>
      <c r="G39" s="3">
        <v>45892</v>
      </c>
      <c r="H39" s="2">
        <v>730</v>
      </c>
      <c r="I39" s="6">
        <v>46622</v>
      </c>
      <c r="J39" s="7">
        <f t="shared" ca="1" si="1"/>
        <v>482</v>
      </c>
    </row>
    <row r="40" spans="1:10" ht="15" thickBot="1" x14ac:dyDescent="0.35">
      <c r="A40" s="1"/>
      <c r="B40" s="2" t="s">
        <v>9</v>
      </c>
      <c r="C40" s="11" t="s">
        <v>73</v>
      </c>
      <c r="D40" s="10" t="s">
        <v>41</v>
      </c>
      <c r="E40" s="10" t="s">
        <v>17</v>
      </c>
      <c r="F40" s="2" t="s">
        <v>18</v>
      </c>
      <c r="G40" s="3">
        <v>45770</v>
      </c>
      <c r="H40" s="2">
        <v>730</v>
      </c>
      <c r="I40" s="6">
        <v>46500</v>
      </c>
      <c r="J40" s="7">
        <f t="shared" ca="1" si="1"/>
        <v>360</v>
      </c>
    </row>
    <row r="41" spans="1:10" ht="15" thickBot="1" x14ac:dyDescent="0.35">
      <c r="A41" s="1"/>
      <c r="B41" s="2" t="s">
        <v>9</v>
      </c>
      <c r="C41" s="11" t="s">
        <v>74</v>
      </c>
      <c r="D41" s="10" t="s">
        <v>41</v>
      </c>
      <c r="E41" s="10" t="s">
        <v>17</v>
      </c>
      <c r="F41" s="2" t="s">
        <v>18</v>
      </c>
      <c r="G41" s="3">
        <v>46013</v>
      </c>
      <c r="H41" s="2">
        <v>730</v>
      </c>
      <c r="I41" s="6">
        <v>46743</v>
      </c>
      <c r="J41" s="7">
        <f t="shared" ca="1" si="1"/>
        <v>603</v>
      </c>
    </row>
    <row r="42" spans="1:10" ht="15" thickBot="1" x14ac:dyDescent="0.35">
      <c r="A42" s="1"/>
      <c r="B42" s="2" t="s">
        <v>9</v>
      </c>
      <c r="C42" s="11" t="s">
        <v>75</v>
      </c>
      <c r="D42" s="10" t="s">
        <v>79</v>
      </c>
      <c r="E42" s="10" t="s">
        <v>17</v>
      </c>
      <c r="F42" s="2" t="s">
        <v>18</v>
      </c>
      <c r="G42" s="3">
        <v>45805</v>
      </c>
      <c r="H42" s="2">
        <v>730</v>
      </c>
      <c r="I42" s="6">
        <v>46535</v>
      </c>
      <c r="J42" s="7">
        <f t="shared" ca="1" si="1"/>
        <v>395</v>
      </c>
    </row>
    <row r="58" spans="10:10" x14ac:dyDescent="0.3">
      <c r="J58" s="16"/>
    </row>
    <row r="59" spans="10:10" x14ac:dyDescent="0.3">
      <c r="J59" s="16"/>
    </row>
    <row r="60" spans="10:10" x14ac:dyDescent="0.3">
      <c r="J60" s="16"/>
    </row>
    <row r="61" spans="10:10" x14ac:dyDescent="0.3">
      <c r="J61" s="16"/>
    </row>
    <row r="62" spans="10:10" x14ac:dyDescent="0.3">
      <c r="J62" s="16"/>
    </row>
    <row r="63" spans="10:10" x14ac:dyDescent="0.3">
      <c r="J63" s="16"/>
    </row>
    <row r="64" spans="10:10" x14ac:dyDescent="0.3">
      <c r="J64" s="16"/>
    </row>
    <row r="65" spans="10:10" x14ac:dyDescent="0.3">
      <c r="J65" s="16"/>
    </row>
    <row r="66" spans="10:10" x14ac:dyDescent="0.3">
      <c r="J66" s="16"/>
    </row>
    <row r="67" spans="10:10" x14ac:dyDescent="0.3">
      <c r="J67" s="16"/>
    </row>
    <row r="68" spans="10:10" x14ac:dyDescent="0.3">
      <c r="J68" s="16"/>
    </row>
    <row r="69" spans="10:10" x14ac:dyDescent="0.3">
      <c r="J69" s="16"/>
    </row>
    <row r="70" spans="10:10" x14ac:dyDescent="0.3">
      <c r="J70" s="16"/>
    </row>
    <row r="71" spans="10:10" x14ac:dyDescent="0.3">
      <c r="J71" s="16"/>
    </row>
    <row r="72" spans="10:10" x14ac:dyDescent="0.3">
      <c r="J72" s="16"/>
    </row>
    <row r="73" spans="10:10" x14ac:dyDescent="0.3">
      <c r="J73" s="16"/>
    </row>
    <row r="74" spans="10:10" x14ac:dyDescent="0.3">
      <c r="J74" s="16"/>
    </row>
    <row r="75" spans="10:10" x14ac:dyDescent="0.3">
      <c r="J75" s="16"/>
    </row>
    <row r="76" spans="10:10" x14ac:dyDescent="0.3">
      <c r="J76" s="16"/>
    </row>
    <row r="77" spans="10:10" x14ac:dyDescent="0.3">
      <c r="J77" s="16"/>
    </row>
    <row r="78" spans="10:10" x14ac:dyDescent="0.3">
      <c r="J78" s="16"/>
    </row>
    <row r="79" spans="10:10" x14ac:dyDescent="0.3">
      <c r="J79" s="16"/>
    </row>
    <row r="80" spans="10:10" x14ac:dyDescent="0.3">
      <c r="J80" s="16"/>
    </row>
    <row r="81" spans="10:10" x14ac:dyDescent="0.3">
      <c r="J81" s="16"/>
    </row>
    <row r="82" spans="10:10" x14ac:dyDescent="0.3">
      <c r="J82" s="16"/>
    </row>
    <row r="83" spans="10:10" x14ac:dyDescent="0.3">
      <c r="J83" s="16"/>
    </row>
    <row r="84" spans="10:10" x14ac:dyDescent="0.3">
      <c r="J84" s="16"/>
    </row>
    <row r="85" spans="10:10" x14ac:dyDescent="0.3">
      <c r="J85" s="16"/>
    </row>
    <row r="86" spans="10:10" x14ac:dyDescent="0.3">
      <c r="J86" s="16"/>
    </row>
    <row r="87" spans="10:10" x14ac:dyDescent="0.3">
      <c r="J87" s="16"/>
    </row>
    <row r="88" spans="10:10" x14ac:dyDescent="0.3">
      <c r="J88" s="16"/>
    </row>
    <row r="89" spans="10:10" x14ac:dyDescent="0.3">
      <c r="J89" s="16"/>
    </row>
    <row r="90" spans="10:10" x14ac:dyDescent="0.3">
      <c r="J90" s="16"/>
    </row>
    <row r="91" spans="10:10" x14ac:dyDescent="0.3">
      <c r="J91" s="16"/>
    </row>
    <row r="92" spans="10:10" x14ac:dyDescent="0.3">
      <c r="J92" s="16"/>
    </row>
    <row r="93" spans="10:10" x14ac:dyDescent="0.3">
      <c r="J93" s="16"/>
    </row>
    <row r="94" spans="10:10" x14ac:dyDescent="0.3">
      <c r="J94" s="16"/>
    </row>
    <row r="95" spans="10:10" x14ac:dyDescent="0.3">
      <c r="J95" s="16"/>
    </row>
    <row r="96" spans="10:10" x14ac:dyDescent="0.3">
      <c r="J96" s="16"/>
    </row>
    <row r="97" spans="10:10" x14ac:dyDescent="0.3">
      <c r="J97" s="16"/>
    </row>
    <row r="98" spans="10:10" x14ac:dyDescent="0.3">
      <c r="J98" s="16"/>
    </row>
    <row r="99" spans="10:10" x14ac:dyDescent="0.3">
      <c r="J99" s="16"/>
    </row>
    <row r="100" spans="10:10" x14ac:dyDescent="0.3">
      <c r="J100" s="16"/>
    </row>
    <row r="101" spans="10:10" x14ac:dyDescent="0.3">
      <c r="J101" s="16"/>
    </row>
    <row r="102" spans="10:10" x14ac:dyDescent="0.3">
      <c r="J102" s="16"/>
    </row>
    <row r="103" spans="10:10" x14ac:dyDescent="0.3">
      <c r="J103" s="16"/>
    </row>
    <row r="104" spans="10:10" x14ac:dyDescent="0.3">
      <c r="J104" s="16"/>
    </row>
    <row r="105" spans="10:10" x14ac:dyDescent="0.3">
      <c r="J105" s="16"/>
    </row>
    <row r="106" spans="10:10" x14ac:dyDescent="0.3">
      <c r="J106" s="16"/>
    </row>
    <row r="107" spans="10:10" x14ac:dyDescent="0.3">
      <c r="J107" s="16"/>
    </row>
    <row r="108" spans="10:10" x14ac:dyDescent="0.3">
      <c r="J108" s="16"/>
    </row>
    <row r="109" spans="10:10" x14ac:dyDescent="0.3">
      <c r="J109" s="16"/>
    </row>
    <row r="110" spans="10:10" x14ac:dyDescent="0.3">
      <c r="J110" s="16"/>
    </row>
    <row r="111" spans="10:10" x14ac:dyDescent="0.3">
      <c r="J111" s="16"/>
    </row>
    <row r="112" spans="10:10" x14ac:dyDescent="0.3">
      <c r="J112" s="16"/>
    </row>
    <row r="113" spans="10:10" x14ac:dyDescent="0.3">
      <c r="J113" s="16"/>
    </row>
    <row r="114" spans="10:10" x14ac:dyDescent="0.3">
      <c r="J114" s="16"/>
    </row>
    <row r="115" spans="10:10" x14ac:dyDescent="0.3">
      <c r="J115" s="16"/>
    </row>
    <row r="116" spans="10:10" x14ac:dyDescent="0.3">
      <c r="J116" s="16"/>
    </row>
    <row r="117" spans="10:10" x14ac:dyDescent="0.3">
      <c r="J117" s="16"/>
    </row>
    <row r="118" spans="10:10" x14ac:dyDescent="0.3">
      <c r="J118" s="16"/>
    </row>
    <row r="119" spans="10:10" x14ac:dyDescent="0.3">
      <c r="J119" s="16"/>
    </row>
    <row r="120" spans="10:10" x14ac:dyDescent="0.3">
      <c r="J120" s="16"/>
    </row>
    <row r="121" spans="10:10" x14ac:dyDescent="0.3">
      <c r="J121" s="16"/>
    </row>
    <row r="122" spans="10:10" x14ac:dyDescent="0.3">
      <c r="J122" s="16"/>
    </row>
    <row r="123" spans="10:10" x14ac:dyDescent="0.3">
      <c r="J123" s="16"/>
    </row>
    <row r="124" spans="10:10" x14ac:dyDescent="0.3">
      <c r="J124" s="16"/>
    </row>
    <row r="125" spans="10:10" x14ac:dyDescent="0.3">
      <c r="J125" s="16"/>
    </row>
    <row r="126" spans="10:10" x14ac:dyDescent="0.3">
      <c r="J126" s="16"/>
    </row>
    <row r="127" spans="10:10" x14ac:dyDescent="0.3">
      <c r="J127" s="16"/>
    </row>
    <row r="128" spans="10:10" x14ac:dyDescent="0.3">
      <c r="J128" s="16"/>
    </row>
    <row r="129" spans="10:10" x14ac:dyDescent="0.3">
      <c r="J129" s="16"/>
    </row>
    <row r="130" spans="10:10" x14ac:dyDescent="0.3">
      <c r="J130" s="16"/>
    </row>
    <row r="131" spans="10:10" x14ac:dyDescent="0.3">
      <c r="J131" s="16"/>
    </row>
    <row r="132" spans="10:10" x14ac:dyDescent="0.3">
      <c r="J132" s="16"/>
    </row>
    <row r="133" spans="10:10" x14ac:dyDescent="0.3">
      <c r="J133" s="16"/>
    </row>
    <row r="134" spans="10:10" x14ac:dyDescent="0.3">
      <c r="J134" s="16"/>
    </row>
    <row r="135" spans="10:10" x14ac:dyDescent="0.3">
      <c r="J135" s="16"/>
    </row>
    <row r="136" spans="10:10" x14ac:dyDescent="0.3">
      <c r="J136" s="16"/>
    </row>
    <row r="137" spans="10:10" x14ac:dyDescent="0.3">
      <c r="J137" s="16"/>
    </row>
    <row r="138" spans="10:10" x14ac:dyDescent="0.3">
      <c r="J138" s="16"/>
    </row>
    <row r="139" spans="10:10" x14ac:dyDescent="0.3">
      <c r="J139" s="16"/>
    </row>
    <row r="140" spans="10:10" x14ac:dyDescent="0.3">
      <c r="J140" s="16"/>
    </row>
    <row r="141" spans="10:10" x14ac:dyDescent="0.3">
      <c r="J141" s="16"/>
    </row>
    <row r="142" spans="10:10" x14ac:dyDescent="0.3">
      <c r="J142" s="16"/>
    </row>
    <row r="143" spans="10:10" x14ac:dyDescent="0.3">
      <c r="J143" s="16"/>
    </row>
    <row r="144" spans="10:10" x14ac:dyDescent="0.3">
      <c r="J144" s="16"/>
    </row>
    <row r="145" spans="10:10" x14ac:dyDescent="0.3">
      <c r="J145" s="16"/>
    </row>
    <row r="146" spans="10:10" x14ac:dyDescent="0.3">
      <c r="J146" s="16"/>
    </row>
    <row r="147" spans="10:10" x14ac:dyDescent="0.3">
      <c r="J147" s="16"/>
    </row>
    <row r="148" spans="10:10" x14ac:dyDescent="0.3">
      <c r="J148" s="16"/>
    </row>
    <row r="149" spans="10:10" x14ac:dyDescent="0.3">
      <c r="J149" s="16"/>
    </row>
    <row r="150" spans="10:10" x14ac:dyDescent="0.3">
      <c r="J150" s="16"/>
    </row>
    <row r="151" spans="10:10" x14ac:dyDescent="0.3">
      <c r="J151" s="16"/>
    </row>
    <row r="152" spans="10:10" x14ac:dyDescent="0.3">
      <c r="J152" s="16"/>
    </row>
    <row r="153" spans="10:10" x14ac:dyDescent="0.3">
      <c r="J153" s="16"/>
    </row>
    <row r="154" spans="10:10" x14ac:dyDescent="0.3">
      <c r="J154" s="16"/>
    </row>
  </sheetData>
  <mergeCells count="1">
    <mergeCell ref="A1:J1"/>
  </mergeCells>
  <conditionalFormatting sqref="I3:I42">
    <cfRule type="expression" dxfId="5" priority="2">
      <formula>$I$3-$L$2&lt;0</formula>
    </cfRule>
    <cfRule type="expression" dxfId="4" priority="3">
      <formula>$I$3-$L$2&lt;=40</formula>
    </cfRule>
  </conditionalFormatting>
  <conditionalFormatting sqref="J1:J42 J58:J1048576">
    <cfRule type="cellIs" dxfId="3" priority="1" operator="lessThan">
      <formula>31</formula>
    </cfRule>
  </conditionalFormatting>
  <dataValidations count="3">
    <dataValidation type="list" allowBlank="1" showInputMessage="1" showErrorMessage="1" sqref="E11:E42 E3:E9" xr:uid="{0B156E43-103D-4799-AA65-D54627800192}">
      <formula1>"ADMINISTRATIVA,OPERACIONAL"</formula1>
    </dataValidation>
    <dataValidation type="list" allowBlank="1" showInputMessage="1" showErrorMessage="1" sqref="B28:B42 B3:B26" xr:uid="{B0431BBA-5FF2-400A-8A43-BB840811D8BB}">
      <formula1>"Ativo,Inativo"</formula1>
    </dataValidation>
    <dataValidation type="list" allowBlank="1" showInputMessage="1" showErrorMessage="1" sqref="F3:F42" xr:uid="{7C5260C6-8B0A-4DFC-A498-6ACB7433D67E}">
      <formula1>"AMB. HYDRO,HSE,NR 05,NR 06,NR 10,NR 11,NR 12,NR 17,NR 18,NR 20,NR 22,NR 23,NR 33,NR 35"</formula1>
    </dataValidation>
  </dataValidations>
  <pageMargins left="0.51181102362204722" right="0.51181102362204722" top="0.78740157480314965" bottom="0.78740157480314965" header="0.31496062992125984" footer="0.31496062992125984"/>
  <pageSetup paperSize="9" scale="8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03EF-D758-4029-AA05-729D4086B035}">
  <dimension ref="A1:L129"/>
  <sheetViews>
    <sheetView zoomScale="93" workbookViewId="0">
      <selection activeCell="H15" sqref="H15"/>
    </sheetView>
  </sheetViews>
  <sheetFormatPr defaultRowHeight="14.4" x14ac:dyDescent="0.3"/>
  <cols>
    <col min="3" max="3" width="39" customWidth="1"/>
    <col min="4" max="4" width="38.21875" customWidth="1"/>
    <col min="5" max="5" width="14.77734375" bestFit="1" customWidth="1"/>
    <col min="6" max="6" width="11" customWidth="1"/>
    <col min="7" max="7" width="18.33203125" bestFit="1" customWidth="1"/>
    <col min="8" max="8" width="17.21875" bestFit="1" customWidth="1"/>
    <col min="9" max="9" width="25" bestFit="1" customWidth="1"/>
    <col min="10" max="10" width="13.33203125" bestFit="1" customWidth="1"/>
    <col min="12" max="12" width="10.88671875" customWidth="1"/>
  </cols>
  <sheetData>
    <row r="1" spans="1:12" ht="50.4" customHeight="1" thickBot="1" x14ac:dyDescent="0.35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  <c r="L1" s="4" t="s">
        <v>12</v>
      </c>
    </row>
    <row r="2" spans="1:12" ht="15" thickBot="1" x14ac:dyDescent="0.35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8" t="s">
        <v>6</v>
      </c>
      <c r="H2" s="9" t="s">
        <v>11</v>
      </c>
      <c r="I2" s="9" t="s">
        <v>7</v>
      </c>
      <c r="J2" s="9" t="s">
        <v>8</v>
      </c>
      <c r="L2" s="5">
        <f ca="1">TODAY()</f>
        <v>46140</v>
      </c>
    </row>
    <row r="3" spans="1:12" ht="15" hidden="1" thickBot="1" x14ac:dyDescent="0.35">
      <c r="A3" s="1"/>
      <c r="B3" s="2"/>
      <c r="C3" s="11"/>
      <c r="D3" s="10"/>
      <c r="E3" s="10"/>
      <c r="F3" s="2"/>
      <c r="G3" s="3"/>
      <c r="H3" s="2"/>
      <c r="I3" s="6"/>
      <c r="J3" s="7"/>
    </row>
    <row r="4" spans="1:12" ht="15" thickBot="1" x14ac:dyDescent="0.35">
      <c r="A4" s="1"/>
      <c r="B4" s="2" t="s">
        <v>9</v>
      </c>
      <c r="C4" s="11" t="s">
        <v>23</v>
      </c>
      <c r="D4" s="10" t="s">
        <v>24</v>
      </c>
      <c r="E4" s="10" t="s">
        <v>17</v>
      </c>
      <c r="F4" s="2" t="s">
        <v>80</v>
      </c>
      <c r="G4" s="3">
        <v>45803</v>
      </c>
      <c r="H4" s="2">
        <v>730</v>
      </c>
      <c r="I4" s="17">
        <f>G4+H4</f>
        <v>46533</v>
      </c>
      <c r="J4" s="7">
        <f ca="1">I4-L2</f>
        <v>393</v>
      </c>
    </row>
    <row r="5" spans="1:12" ht="15" thickBot="1" x14ac:dyDescent="0.35">
      <c r="A5" s="1"/>
      <c r="B5" s="2" t="s">
        <v>9</v>
      </c>
      <c r="C5" s="11" t="s">
        <v>38</v>
      </c>
      <c r="D5" s="10" t="s">
        <v>39</v>
      </c>
      <c r="E5" s="10" t="s">
        <v>17</v>
      </c>
      <c r="F5" s="2" t="s">
        <v>80</v>
      </c>
      <c r="G5" s="3"/>
      <c r="H5" s="2"/>
      <c r="I5" s="17"/>
      <c r="J5" s="7">
        <f t="shared" ref="J5:J6" si="0">I5-L3</f>
        <v>0</v>
      </c>
    </row>
    <row r="6" spans="1:12" ht="15" thickBot="1" x14ac:dyDescent="0.35">
      <c r="A6" s="1"/>
      <c r="B6" s="2" t="s">
        <v>9</v>
      </c>
      <c r="C6" s="11" t="s">
        <v>40</v>
      </c>
      <c r="D6" s="10" t="s">
        <v>41</v>
      </c>
      <c r="E6" s="10" t="s">
        <v>17</v>
      </c>
      <c r="F6" s="2" t="s">
        <v>80</v>
      </c>
      <c r="G6" s="3">
        <v>46006</v>
      </c>
      <c r="H6" s="2">
        <v>730</v>
      </c>
      <c r="I6" s="17">
        <f>G6+H6</f>
        <v>46736</v>
      </c>
      <c r="J6" s="7">
        <f ca="1">I6-L2</f>
        <v>596</v>
      </c>
    </row>
    <row r="7" spans="1:12" ht="15" thickBot="1" x14ac:dyDescent="0.35">
      <c r="A7" s="1"/>
      <c r="B7" s="2" t="s">
        <v>9</v>
      </c>
      <c r="C7" s="11" t="s">
        <v>42</v>
      </c>
      <c r="D7" t="s">
        <v>39</v>
      </c>
      <c r="E7" s="10" t="s">
        <v>17</v>
      </c>
      <c r="F7" s="2" t="s">
        <v>80</v>
      </c>
      <c r="G7" s="3">
        <v>46087</v>
      </c>
      <c r="H7" s="2">
        <v>730</v>
      </c>
      <c r="I7" s="17">
        <f>G7+H7</f>
        <v>46817</v>
      </c>
      <c r="J7" s="7">
        <f t="shared" ref="J4:J10" ca="1" si="1">I7-$L$2</f>
        <v>677</v>
      </c>
    </row>
    <row r="8" spans="1:12" ht="15" thickBot="1" x14ac:dyDescent="0.35">
      <c r="A8" s="1"/>
      <c r="B8" s="2" t="s">
        <v>9</v>
      </c>
      <c r="C8" s="11" t="s">
        <v>47</v>
      </c>
      <c r="D8" s="10" t="s">
        <v>41</v>
      </c>
      <c r="E8" s="10" t="s">
        <v>17</v>
      </c>
      <c r="F8" s="2" t="s">
        <v>80</v>
      </c>
      <c r="G8" s="3">
        <v>46371</v>
      </c>
      <c r="H8" s="2">
        <v>730</v>
      </c>
      <c r="I8" s="17">
        <f>G8+H8</f>
        <v>47101</v>
      </c>
      <c r="J8" s="7">
        <f t="shared" ca="1" si="1"/>
        <v>961</v>
      </c>
    </row>
    <row r="9" spans="1:12" ht="15" thickBot="1" x14ac:dyDescent="0.35">
      <c r="A9" s="1"/>
      <c r="B9" s="2" t="s">
        <v>9</v>
      </c>
      <c r="C9" s="11" t="s">
        <v>44</v>
      </c>
      <c r="D9" s="10" t="s">
        <v>41</v>
      </c>
      <c r="E9" s="10" t="s">
        <v>17</v>
      </c>
      <c r="F9" s="2" t="s">
        <v>80</v>
      </c>
      <c r="G9" s="3">
        <v>45807</v>
      </c>
      <c r="H9" s="2">
        <v>730</v>
      </c>
      <c r="I9" s="17">
        <f>G9+H9</f>
        <v>46537</v>
      </c>
      <c r="J9" s="7">
        <f t="shared" ca="1" si="1"/>
        <v>397</v>
      </c>
    </row>
    <row r="10" spans="1:12" ht="15" thickBot="1" x14ac:dyDescent="0.35">
      <c r="A10" s="1"/>
      <c r="B10" s="2" t="s">
        <v>9</v>
      </c>
      <c r="C10" s="11" t="s">
        <v>52</v>
      </c>
      <c r="D10" s="10" t="s">
        <v>39</v>
      </c>
      <c r="E10" s="10" t="s">
        <v>17</v>
      </c>
      <c r="F10" s="2" t="s">
        <v>80</v>
      </c>
      <c r="G10" s="3">
        <v>45705</v>
      </c>
      <c r="H10" s="2">
        <v>730</v>
      </c>
      <c r="I10" s="17">
        <f>G10+H10</f>
        <v>46435</v>
      </c>
      <c r="J10" s="7">
        <f t="shared" ca="1" si="1"/>
        <v>295</v>
      </c>
    </row>
    <row r="11" spans="1:12" ht="15" thickBot="1" x14ac:dyDescent="0.35">
      <c r="A11" s="1"/>
      <c r="B11" s="12" t="s">
        <v>9</v>
      </c>
      <c r="C11" s="11" t="s">
        <v>56</v>
      </c>
      <c r="D11" s="10" t="s">
        <v>39</v>
      </c>
      <c r="E11" s="10" t="s">
        <v>17</v>
      </c>
      <c r="F11" s="2" t="s">
        <v>80</v>
      </c>
      <c r="G11" s="3">
        <v>46087</v>
      </c>
      <c r="H11" s="2">
        <v>730</v>
      </c>
      <c r="I11" s="17">
        <f t="shared" ref="I8:I17" si="2">G11+H11</f>
        <v>46817</v>
      </c>
      <c r="J11" s="7">
        <f ca="1">I11-$L$2</f>
        <v>677</v>
      </c>
    </row>
    <row r="12" spans="1:12" ht="15" thickBot="1" x14ac:dyDescent="0.35">
      <c r="A12" s="1"/>
      <c r="B12" s="2" t="s">
        <v>9</v>
      </c>
      <c r="C12" s="11" t="s">
        <v>61</v>
      </c>
      <c r="D12" s="10" t="s">
        <v>49</v>
      </c>
      <c r="E12" s="10" t="s">
        <v>17</v>
      </c>
      <c r="F12" s="2" t="s">
        <v>80</v>
      </c>
      <c r="G12" s="3">
        <v>45842</v>
      </c>
      <c r="H12" s="2">
        <v>730</v>
      </c>
      <c r="I12" s="17">
        <f t="shared" si="2"/>
        <v>46572</v>
      </c>
      <c r="J12" s="7">
        <f ca="1">I12-$L$2</f>
        <v>432</v>
      </c>
    </row>
    <row r="13" spans="1:12" ht="15" thickBot="1" x14ac:dyDescent="0.35">
      <c r="A13" s="1"/>
      <c r="B13" s="2" t="s">
        <v>9</v>
      </c>
      <c r="C13" s="11" t="s">
        <v>68</v>
      </c>
      <c r="D13" s="10" t="s">
        <v>41</v>
      </c>
      <c r="E13" s="10" t="s">
        <v>17</v>
      </c>
      <c r="F13" s="2" t="s">
        <v>80</v>
      </c>
      <c r="G13" s="3">
        <v>46006</v>
      </c>
      <c r="H13" s="2">
        <v>730</v>
      </c>
      <c r="I13" s="17">
        <f t="shared" si="2"/>
        <v>46736</v>
      </c>
      <c r="J13" s="7">
        <f ca="1">I13-$L$2</f>
        <v>596</v>
      </c>
    </row>
    <row r="14" spans="1:12" ht="15" thickBot="1" x14ac:dyDescent="0.35">
      <c r="A14" s="1"/>
      <c r="B14" s="2" t="s">
        <v>9</v>
      </c>
      <c r="C14" s="11" t="s">
        <v>70</v>
      </c>
      <c r="D14" s="10" t="s">
        <v>76</v>
      </c>
      <c r="E14" s="10" t="s">
        <v>17</v>
      </c>
      <c r="F14" s="2" t="s">
        <v>80</v>
      </c>
      <c r="G14" s="3">
        <v>45705</v>
      </c>
      <c r="H14" s="2">
        <v>730</v>
      </c>
      <c r="I14" s="17">
        <f t="shared" si="2"/>
        <v>46435</v>
      </c>
      <c r="J14" s="7">
        <f t="shared" ref="J14:J17" ca="1" si="3">I14-$L$2</f>
        <v>295</v>
      </c>
    </row>
    <row r="15" spans="1:12" ht="15" thickBot="1" x14ac:dyDescent="0.35">
      <c r="A15" s="1"/>
      <c r="B15" s="2" t="s">
        <v>9</v>
      </c>
      <c r="C15" s="11" t="s">
        <v>71</v>
      </c>
      <c r="D15" s="10" t="s">
        <v>77</v>
      </c>
      <c r="E15" s="10" t="s">
        <v>17</v>
      </c>
      <c r="F15" s="2" t="s">
        <v>80</v>
      </c>
      <c r="G15" s="3">
        <v>45803</v>
      </c>
      <c r="H15" s="2">
        <v>730</v>
      </c>
      <c r="I15" s="17">
        <f t="shared" si="2"/>
        <v>46533</v>
      </c>
      <c r="J15" s="7">
        <f t="shared" ca="1" si="3"/>
        <v>393</v>
      </c>
    </row>
    <row r="16" spans="1:12" ht="15" thickBot="1" x14ac:dyDescent="0.35">
      <c r="A16" s="1"/>
      <c r="B16" s="2" t="s">
        <v>9</v>
      </c>
      <c r="C16" s="11" t="s">
        <v>73</v>
      </c>
      <c r="D16" s="10" t="s">
        <v>41</v>
      </c>
      <c r="E16" s="10" t="s">
        <v>17</v>
      </c>
      <c r="F16" s="2" t="s">
        <v>80</v>
      </c>
      <c r="G16" s="3">
        <v>45807</v>
      </c>
      <c r="H16" s="2">
        <v>730</v>
      </c>
      <c r="I16" s="17">
        <f t="shared" si="2"/>
        <v>46537</v>
      </c>
      <c r="J16" s="7">
        <f t="shared" ca="1" si="3"/>
        <v>397</v>
      </c>
    </row>
    <row r="17" spans="1:10" ht="15" thickBot="1" x14ac:dyDescent="0.35">
      <c r="A17" s="1"/>
      <c r="B17" s="2" t="s">
        <v>9</v>
      </c>
      <c r="C17" s="11" t="s">
        <v>74</v>
      </c>
      <c r="D17" s="10" t="s">
        <v>41</v>
      </c>
      <c r="E17" s="10" t="s">
        <v>17</v>
      </c>
      <c r="F17" s="2" t="s">
        <v>80</v>
      </c>
      <c r="G17" s="3">
        <v>46006</v>
      </c>
      <c r="H17" s="2">
        <v>730</v>
      </c>
      <c r="I17" s="17">
        <f t="shared" si="2"/>
        <v>46736</v>
      </c>
      <c r="J17" s="7">
        <f t="shared" ca="1" si="3"/>
        <v>596</v>
      </c>
    </row>
    <row r="108" spans="10:10" x14ac:dyDescent="0.3">
      <c r="J108" s="16"/>
    </row>
    <row r="109" spans="10:10" x14ac:dyDescent="0.3">
      <c r="J109" s="16"/>
    </row>
    <row r="110" spans="10:10" x14ac:dyDescent="0.3">
      <c r="J110" s="16"/>
    </row>
    <row r="111" spans="10:10" x14ac:dyDescent="0.3">
      <c r="J111" s="16"/>
    </row>
    <row r="112" spans="10:10" x14ac:dyDescent="0.3">
      <c r="J112" s="16"/>
    </row>
    <row r="113" spans="10:10" x14ac:dyDescent="0.3">
      <c r="J113" s="16"/>
    </row>
    <row r="114" spans="10:10" x14ac:dyDescent="0.3">
      <c r="J114" s="16"/>
    </row>
    <row r="115" spans="10:10" x14ac:dyDescent="0.3">
      <c r="J115" s="16"/>
    </row>
    <row r="116" spans="10:10" x14ac:dyDescent="0.3">
      <c r="J116" s="16"/>
    </row>
    <row r="117" spans="10:10" x14ac:dyDescent="0.3">
      <c r="J117" s="16"/>
    </row>
    <row r="118" spans="10:10" x14ac:dyDescent="0.3">
      <c r="J118" s="16"/>
    </row>
    <row r="119" spans="10:10" x14ac:dyDescent="0.3">
      <c r="J119" s="16"/>
    </row>
    <row r="120" spans="10:10" x14ac:dyDescent="0.3">
      <c r="J120" s="16"/>
    </row>
    <row r="121" spans="10:10" x14ac:dyDescent="0.3">
      <c r="J121" s="16"/>
    </row>
    <row r="122" spans="10:10" x14ac:dyDescent="0.3">
      <c r="J122" s="16"/>
    </row>
    <row r="123" spans="10:10" x14ac:dyDescent="0.3">
      <c r="J123" s="16"/>
    </row>
    <row r="124" spans="10:10" x14ac:dyDescent="0.3">
      <c r="J124" s="16"/>
    </row>
    <row r="125" spans="10:10" x14ac:dyDescent="0.3">
      <c r="J125" s="16"/>
    </row>
    <row r="126" spans="10:10" x14ac:dyDescent="0.3">
      <c r="J126" s="16"/>
    </row>
    <row r="127" spans="10:10" x14ac:dyDescent="0.3">
      <c r="J127" s="16"/>
    </row>
    <row r="128" spans="10:10" x14ac:dyDescent="0.3">
      <c r="J128" s="16"/>
    </row>
    <row r="129" spans="10:10" x14ac:dyDescent="0.3">
      <c r="J129" s="16"/>
    </row>
  </sheetData>
  <sortState xmlns:xlrd2="http://schemas.microsoft.com/office/spreadsheetml/2017/richdata2" ref="C4:J18">
    <sortCondition ref="C4:C18"/>
  </sortState>
  <mergeCells count="1">
    <mergeCell ref="A1:J1"/>
  </mergeCells>
  <phoneticPr fontId="4" type="noConversion"/>
  <conditionalFormatting sqref="I3:I17">
    <cfRule type="expression" dxfId="2" priority="6">
      <formula>#REF!-$L$2&lt;0</formula>
    </cfRule>
    <cfRule type="expression" dxfId="1" priority="7">
      <formula>#REF!-$L$2&lt;=40</formula>
    </cfRule>
  </conditionalFormatting>
  <conditionalFormatting sqref="J108:J1048576 J1:J17">
    <cfRule type="cellIs" dxfId="0" priority="1" operator="lessThan">
      <formula>31</formula>
    </cfRule>
  </conditionalFormatting>
  <dataValidations count="3">
    <dataValidation type="list" allowBlank="1" showInputMessage="1" showErrorMessage="1" sqref="B3:B10 B12:B17" xr:uid="{57736A45-EF49-418A-A2D1-0C975BAB2C7F}">
      <formula1>"Ativo,Inativo"</formula1>
    </dataValidation>
    <dataValidation type="list" allowBlank="1" showInputMessage="1" showErrorMessage="1" sqref="E3:E17" xr:uid="{F9BE5506-076F-4EDB-97A8-91BB38B63C1F}">
      <formula1>"ADMINISTRATIVA,OPERACIONAL"</formula1>
    </dataValidation>
    <dataValidation type="list" allowBlank="1" showInputMessage="1" showErrorMessage="1" sqref="F3:F17" xr:uid="{7FD62D9C-5C50-4E7E-B31D-A8F255127FF9}">
      <formula1>"AMB. HYDRO,HSE,NR 05,NR 06,NR 10,NR 11,NR 12,NR 17,NR 18,NR 20,NR 22,NR 23,NR 33,NR 35"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NR 20 (2)</vt:lpstr>
      <vt:lpstr>NR 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itamar junior</cp:lastModifiedBy>
  <cp:lastPrinted>2026-04-28T18:41:45Z</cp:lastPrinted>
  <dcterms:created xsi:type="dcterms:W3CDTF">2025-08-17T00:04:23Z</dcterms:created>
  <dcterms:modified xsi:type="dcterms:W3CDTF">2026-04-28T18:41:50Z</dcterms:modified>
</cp:coreProperties>
</file>